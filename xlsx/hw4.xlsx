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ithyah Nair\source\repos\xll_ml\xlsx\"/>
    </mc:Choice>
  </mc:AlternateContent>
  <xr:revisionPtr revIDLastSave="0" documentId="13_ncr:1_{B378FB79-C9DC-40CE-9424-4BDAF186700D}" xr6:coauthVersionLast="47" xr6:coauthVersionMax="47" xr10:uidLastSave="{00000000-0000-0000-0000-000000000000}"/>
  <bookViews>
    <workbookView xWindow="-120" yWindow="-120" windowWidth="21840" windowHeight="1302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I6" i="4" a="1"/>
  <c r="I6" i="4" s="1"/>
  <c r="C5" i="4"/>
  <c r="E5" i="4" s="1"/>
  <c r="E9" i="4"/>
  <c r="E8" i="4"/>
  <c r="E7" i="4"/>
  <c r="E6" i="4"/>
  <c r="E4" i="4"/>
  <c r="C8" i="4"/>
  <c r="C7" i="4"/>
  <c r="C6" i="4"/>
  <c r="C4" i="4"/>
  <c r="C3" i="4"/>
  <c r="B4" i="1"/>
  <c r="B6" i="1" s="1" a="1"/>
  <c r="B6" i="1" s="1"/>
  <c r="F16" i="4" a="1"/>
  <c r="F15" i="4" a="1"/>
  <c r="F14" i="4" a="1"/>
  <c r="F13" i="4" a="1"/>
  <c r="F12" i="4" a="1"/>
  <c r="F11" i="4" a="1"/>
  <c r="F10" i="4" a="1"/>
  <c r="F9" i="4" a="1"/>
  <c r="F8" i="4" a="1"/>
  <c r="F7" i="4" a="1"/>
  <c r="F6" i="4" a="1"/>
  <c r="F5" i="4" a="1"/>
  <c r="F4" i="4" a="1"/>
  <c r="F3" i="4" a="1"/>
  <c r="C11" i="3" a="1"/>
  <c r="C10" i="3" a="1"/>
  <c r="C9" i="3" a="1"/>
  <c r="C7" i="3" a="1"/>
  <c r="C6" i="3" a="1"/>
  <c r="C14" i="2" a="1"/>
  <c r="C13" i="2" a="1"/>
  <c r="C7" i="2" a="1"/>
  <c r="C6" i="2" a="1"/>
  <c r="F16" i="4" l="1"/>
  <c r="F15" i="4"/>
  <c r="F14" i="4"/>
  <c r="F13" i="4"/>
  <c r="F12" i="4"/>
  <c r="F11" i="4"/>
  <c r="F10" i="4"/>
  <c r="F9" i="4"/>
  <c r="F8" i="4"/>
  <c r="F7" i="4"/>
  <c r="F6" i="4"/>
  <c r="F5" i="4"/>
  <c r="F4" i="4"/>
  <c r="F3" i="4"/>
  <c r="C11" i="3"/>
  <c r="C10" i="3"/>
  <c r="C9" i="3"/>
  <c r="C7" i="3"/>
  <c r="C6" i="3"/>
  <c r="C14" i="2"/>
  <c r="C13" i="2"/>
  <c r="C7" i="2"/>
  <c r="C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<sst xmlns="http://schemas.openxmlformats.org/spreadsheetml/2006/main" count="45" uniqueCount="41">
  <si>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</si>
  <si>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</si>
  <si>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</si>
  <si>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</si>
  <si>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</si>
  <si>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</si>
  <si>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</si>
  <si>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</si>
  <si>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</si>
  <si>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</si>
  <si>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</si>
  <si>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</si>
  <si>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</si>
  <si>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</si>
  <si>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</si>
  <si>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</si>
  <si>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</si>
  <si>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</si>
  <si>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</si>
  <si>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</si>
  <si>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</si>
  <si>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</si>
  <si>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</si>
  <si>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</si>
  <si>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</si>
  <si>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</si>
  <si>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</si>
  <si>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</si>
  <si>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Zero Coupon Bond</t>
  </si>
  <si>
    <t>maturity</t>
  </si>
  <si>
    <t>handle</t>
  </si>
  <si>
    <t>cash flows</t>
  </si>
  <si>
    <t>bond</t>
  </si>
  <si>
    <t>coupon</t>
  </si>
  <si>
    <t>frequency</t>
  </si>
  <si>
    <t>times</t>
  </si>
  <si>
    <t>rates</t>
  </si>
  <si>
    <t>curve</t>
  </si>
  <si>
    <t>forward at t = 1</t>
  </si>
  <si>
    <t>discount at t = 1</t>
  </si>
  <si>
    <t>spot at t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</si>
</sst>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5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8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sqref="A1:XFD1048576"/>
    </sheetView>
  </sheetViews>
  <sheetFormatPr defaultRowHeight="18.75" x14ac:dyDescent="0.3"/>
  <sheetData>
    <row r="2" spans="2:16" x14ac:dyDescent="0.3">
      <c r="B2" s="1" t="s">
        <v>0</v>
      </c>
    </row>
    <row r="4" spans="2:16" x14ac:dyDescent="0.3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B2:F15"/>
  <sheetViews>
    <sheetView workbookViewId="0">
      <selection activeCell="C21" sqref="C21"/>
    </sheetView>
  </sheetViews>
  <sheetFormatPr defaultRowHeight="18.75" x14ac:dyDescent="0.3"/>
  <cols>
    <col min="2" max="2" width="22.59765625" customWidth="1"/>
    <col min="3" max="3" width="36.3984375" customWidth="1"/>
    <col min="4" max="4" width="29.5" customWidth="1"/>
  </cols>
  <sheetData>
    <row r="2" spans="2:6" x14ac:dyDescent="0.3">
      <c r="B2" s="3" t="s">
        <v>1</v>
      </c>
    </row>
    <row r="4" spans="2:6" x14ac:dyDescent="0.3">
      <c r="B4" s="2" t="s">
        <v>28</v>
      </c>
    </row>
    <row r="5" spans="2:6" x14ac:dyDescent="0.3">
      <c r="B5" t="s">
        <v>29</v>
      </c>
      <c r="C5">
        <v>1</v>
      </c>
    </row>
    <row r="6" spans="2:6" x14ac:dyDescent="0.3">
      <c r="B6" t="s">
        <v>30</v>
      </c>
      <c r="C6" cm="1">
        <f t="array" ref="C6">_xll.\FI.INSTRUMENT.ZERO_COUPON_BOND(C5)</f>
        <v>2564664730768</v>
      </c>
    </row>
    <row r="7" spans="2:6" x14ac:dyDescent="0.3">
      <c r="B7" t="s">
        <v>31</v>
      </c>
      <c r="C7" cm="1">
        <f t="array" ref="C7:C8">_xll.FI.INSTRUMENT(C6)</f>
        <v>1</v>
      </c>
    </row>
    <row r="8" spans="2:6" x14ac:dyDescent="0.3">
      <c r="C8">
        <v>1</v>
      </c>
    </row>
    <row r="9" spans="2:6" x14ac:dyDescent="0.3">
      <c r="B9" t="s">
        <v>32</v>
      </c>
    </row>
    <row r="10" spans="2:6" x14ac:dyDescent="0.3">
      <c r="B10" t="s">
        <v>29</v>
      </c>
      <c r="C10">
        <v>2</v>
      </c>
    </row>
    <row r="11" spans="2:6" x14ac:dyDescent="0.3">
      <c r="B11" t="s">
        <v>33</v>
      </c>
      <c r="C11">
        <v>0.05</v>
      </c>
    </row>
    <row r="12" spans="2:6" x14ac:dyDescent="0.3">
      <c r="B12" t="s">
        <v>34</v>
      </c>
      <c r="C12">
        <v>2</v>
      </c>
    </row>
    <row r="13" spans="2:6" x14ac:dyDescent="0.3">
      <c r="B13" t="s">
        <v>30</v>
      </c>
      <c r="C13" cm="1">
        <f t="array" ref="C13">_xll.\FI.INSTRUMENT.BOND(C10,C11,C12)</f>
        <v>2564534345344</v>
      </c>
    </row>
    <row r="14" spans="2:6" x14ac:dyDescent="0.3">
      <c r="B14" t="s">
        <v>31</v>
      </c>
      <c r="C14" cm="1">
        <f t="array" ref="C14:F15">_xll.FI.INSTRUMENT(C13)</f>
        <v>0.5</v>
      </c>
      <c r="D14">
        <v>1</v>
      </c>
      <c r="E14">
        <v>1.5</v>
      </c>
      <c r="F14">
        <v>2</v>
      </c>
    </row>
    <row r="15" spans="2:6" x14ac:dyDescent="0.3">
      <c r="C15">
        <v>2.5000000000000001E-2</v>
      </c>
      <c r="D15">
        <v>2.5000000000000001E-2</v>
      </c>
      <c r="E15">
        <v>2.5000000000000001E-2</v>
      </c>
      <c r="F15">
        <v>1.0249999999999999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11"/>
  <sheetViews>
    <sheetView workbookViewId="0">
      <selection activeCell="C21" sqref="C21"/>
    </sheetView>
  </sheetViews>
  <sheetFormatPr defaultRowHeight="18.75" x14ac:dyDescent="0.3"/>
  <cols>
    <col min="2" max="2" width="31.5" customWidth="1"/>
    <col min="3" max="3" width="38.19921875" customWidth="1"/>
    <col min="4" max="4" width="31.59765625" customWidth="1"/>
    <col min="5" max="5" width="26" customWidth="1"/>
  </cols>
  <sheetData>
    <row r="2" spans="2:5" x14ac:dyDescent="0.3">
      <c r="B2" t="s">
        <v>2</v>
      </c>
    </row>
    <row r="4" spans="2:5" x14ac:dyDescent="0.3">
      <c r="B4" t="s">
        <v>35</v>
      </c>
      <c r="C4">
        <v>1</v>
      </c>
      <c r="D4">
        <v>2</v>
      </c>
      <c r="E4">
        <v>3</v>
      </c>
    </row>
    <row r="5" spans="2:5" x14ac:dyDescent="0.3">
      <c r="B5" t="s">
        <v>36</v>
      </c>
      <c r="C5">
        <v>0.03</v>
      </c>
      <c r="D5">
        <v>3.5000000000000003E-2</v>
      </c>
      <c r="E5">
        <v>0.04</v>
      </c>
    </row>
    <row r="6" spans="2:5" x14ac:dyDescent="0.3">
      <c r="B6" t="s">
        <v>30</v>
      </c>
      <c r="C6" cm="1">
        <f t="array" ref="C6">_xll.\FI.CURVE.PWFLAT(C4:E4,C5:E5)</f>
        <v>2564535945232</v>
      </c>
    </row>
    <row r="7" spans="2:5" x14ac:dyDescent="0.3">
      <c r="B7" t="s">
        <v>37</v>
      </c>
      <c r="C7" cm="1">
        <f t="array" ref="C7:E8">_xll.FI.CURVE.PWFLAT(C6)</f>
        <v>1</v>
      </c>
      <c r="D7">
        <v>2</v>
      </c>
      <c r="E7">
        <v>3</v>
      </c>
    </row>
    <row r="8" spans="2:5" x14ac:dyDescent="0.3">
      <c r="B8" t="s">
        <v>38</v>
      </c>
      <c r="C8">
        <v>0.03</v>
      </c>
      <c r="D8">
        <v>3.5000000000000003E-2</v>
      </c>
      <c r="E8">
        <v>0.04</v>
      </c>
    </row>
    <row r="9" spans="2:5" x14ac:dyDescent="0.3">
      <c r="B9" t="s">
        <v>39</v>
      </c>
      <c r="C9" cm="1">
        <f t="array" ref="C9">_xll.FI.CURVE.FORWARD(C6,1)</f>
        <v>0.03</v>
      </c>
    </row>
    <row r="10" spans="2:5" x14ac:dyDescent="0.3">
      <c r="B10" t="s">
        <v>40</v>
      </c>
      <c r="C10" cm="1">
        <f t="array" ref="C10">_xll.FI.CURVE.DISCOUNT(C6,1)</f>
        <v>0.97044553354850815</v>
      </c>
    </row>
    <row r="11" spans="2:5" x14ac:dyDescent="0.3">
      <c r="C11" cm="1">
        <f t="array" ref="C11">_xll.FI.CURVE.DISCOUNT(C6,1)</f>
        <v>0.97044553354850815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L74"/>
  <sheetViews>
    <sheetView tabSelected="1" workbookViewId="0">
      <selection activeCell="L9" sqref="L9"/>
    </sheetView>
  </sheetViews>
  <sheetFormatPr defaultRowHeight="18.75" x14ac:dyDescent="0.3"/>
  <cols>
    <col min="6" max="6" width="11.8984375" bestFit="1" customWidth="1"/>
  </cols>
  <sheetData>
    <row r="2" spans="2:12" x14ac:dyDescent="0.3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</row>
    <row r="3" spans="2:12" x14ac:dyDescent="0.3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cm="1">
        <f t="array" ref="F3">_xll.\FI.INSTRUMENT.ZERO_COUPON_BOND(C3,E3)</f>
        <v>2564535987280</v>
      </c>
    </row>
    <row r="4" spans="2:12" x14ac:dyDescent="0.3">
      <c r="B4" s="2" t="s">
        <v>20</v>
      </c>
      <c r="C4">
        <f>1.5/12</f>
        <v>0.125</v>
      </c>
      <c r="D4">
        <v>3.7400000000000003E-2</v>
      </c>
      <c r="E4">
        <f t="shared" ref="E4:E9" si="0">1-D4*C4/360</f>
        <v>0.99998701388888889</v>
      </c>
      <c r="F4" cm="1">
        <f t="array" ref="F4">_xll.\FI.INSTRUMENT.ZERO_COUPON_BOND(C4,E4)</f>
        <v>2564539364064</v>
      </c>
      <c r="I4" t="s">
        <v>27</v>
      </c>
    </row>
    <row r="5" spans="2:12" x14ac:dyDescent="0.3">
      <c r="B5" s="2" t="s">
        <v>4</v>
      </c>
      <c r="C5" s="4">
        <f>2/12</f>
        <v>0.16666666666666666</v>
      </c>
      <c r="D5">
        <v>3.73E-2</v>
      </c>
      <c r="E5">
        <f t="shared" si="0"/>
        <v>0.99998273148148153</v>
      </c>
      <c r="F5" cm="1">
        <f t="array" ref="F5">_xll.\FI.INSTRUMENT.ZERO_COUPON_BOND(C5,E5)</f>
        <v>2564539359312</v>
      </c>
      <c r="I5" s="7" t="s">
        <v>23</v>
      </c>
      <c r="J5" s="7" t="s">
        <v>24</v>
      </c>
      <c r="K5" s="7" t="s">
        <v>25</v>
      </c>
    </row>
    <row r="6" spans="2:12" x14ac:dyDescent="0.3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cm="1">
        <f t="array" ref="F6">_xll.\FI.INSTRUMENT.ZERO_COUPON_BOND(C6,E6)</f>
        <v>2564535974464</v>
      </c>
      <c r="H6">
        <v>0.1</v>
      </c>
      <c r="I6" cm="1">
        <f t="array" ref="I6:I74">_xlfn.VSTACK(_xlfn.SEQUENCE(1/H6,1,0,H6),_xlfn.SEQUENCE(1+29/H7,1,1,H7))</f>
        <v>0</v>
      </c>
    </row>
    <row r="7" spans="2:12" x14ac:dyDescent="0.3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cm="1">
        <f t="array" ref="F7">_xll.\FI.INSTRUMENT.ZERO_COUPON_BOND(C7,E7)</f>
        <v>2564664130208</v>
      </c>
      <c r="H7">
        <v>0.5</v>
      </c>
      <c r="I7">
        <v>0.1</v>
      </c>
    </row>
    <row r="8" spans="2:12" x14ac:dyDescent="0.3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cm="1">
        <f t="array" ref="F8">_xll.\FI.INSTRUMENT.ZERO_COUPON_BOND(C8,E8)</f>
        <v>2564664133232</v>
      </c>
      <c r="I8">
        <v>0.2</v>
      </c>
    </row>
    <row r="9" spans="2:12" x14ac:dyDescent="0.3">
      <c r="B9" s="2" t="s">
        <v>8</v>
      </c>
      <c r="C9">
        <v>1</v>
      </c>
      <c r="D9">
        <v>3.49E-2</v>
      </c>
      <c r="E9">
        <f t="shared" si="0"/>
        <v>0.99990305555555559</v>
      </c>
      <c r="F9" cm="1">
        <f t="array" ref="F9">_xll.\FI.INSTRUMENT.ZERO_COUPON_BOND(C9,E9)</f>
        <v>2564671796368</v>
      </c>
      <c r="I9">
        <v>0.30000000000000004</v>
      </c>
      <c r="L9" s="6" t="s">
        <v>26</v>
      </c>
    </row>
    <row r="10" spans="2:12" x14ac:dyDescent="0.3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_xll.\FI.INSTRUMENT.BOND(C10,D10,2)</f>
        <v>2564534343424</v>
      </c>
      <c r="I10">
        <v>0.4</v>
      </c>
    </row>
    <row r="11" spans="2:12" x14ac:dyDescent="0.3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_xll.\FI.INSTRUMENT.BOND(C11,D11,2)</f>
        <v>2564543192608</v>
      </c>
      <c r="I11">
        <v>0.5</v>
      </c>
    </row>
    <row r="12" spans="2:12" x14ac:dyDescent="0.3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_xll.\FI.INSTRUMENT.BOND(C12,D12,2)</f>
        <v>2564545628128</v>
      </c>
      <c r="I12">
        <v>0.6</v>
      </c>
    </row>
    <row r="13" spans="2:12" x14ac:dyDescent="0.3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_xll.\FI.INSTRUMENT.BOND(C13,D13,2)</f>
        <v>2564544757360</v>
      </c>
      <c r="I13">
        <v>0.7</v>
      </c>
    </row>
    <row r="14" spans="2:12" x14ac:dyDescent="0.3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_xll.\FI.INSTRUMENT.BOND(C14,D14,2)</f>
        <v>2564543192768</v>
      </c>
      <c r="I14">
        <v>0.79999999999999993</v>
      </c>
    </row>
    <row r="15" spans="2:12" x14ac:dyDescent="0.3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_xll.\FI.INSTRUMENT.BOND(C15,D15,2)</f>
        <v>2564534346464</v>
      </c>
      <c r="I15">
        <v>0.89999999999999991</v>
      </c>
    </row>
    <row r="16" spans="2:12" x14ac:dyDescent="0.3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_xll.\FI.INSTRUMENT.BOND(C16,D16,2)</f>
        <v>2564545630368</v>
      </c>
      <c r="I16">
        <v>1</v>
      </c>
    </row>
    <row r="17" spans="9:9" x14ac:dyDescent="0.3">
      <c r="I17">
        <v>1.5</v>
      </c>
    </row>
    <row r="18" spans="9:9" x14ac:dyDescent="0.3">
      <c r="I18">
        <v>2</v>
      </c>
    </row>
    <row r="19" spans="9:9" x14ac:dyDescent="0.3">
      <c r="I19">
        <v>2.5</v>
      </c>
    </row>
    <row r="20" spans="9:9" x14ac:dyDescent="0.3">
      <c r="I20">
        <v>3</v>
      </c>
    </row>
    <row r="21" spans="9:9" x14ac:dyDescent="0.3">
      <c r="I21">
        <v>3.5</v>
      </c>
    </row>
    <row r="22" spans="9:9" x14ac:dyDescent="0.3">
      <c r="I22">
        <v>4</v>
      </c>
    </row>
    <row r="23" spans="9:9" x14ac:dyDescent="0.3">
      <c r="I23">
        <v>4.5</v>
      </c>
    </row>
    <row r="24" spans="9:9" x14ac:dyDescent="0.3">
      <c r="I24">
        <v>5</v>
      </c>
    </row>
    <row r="25" spans="9:9" x14ac:dyDescent="0.3">
      <c r="I25">
        <v>5.5</v>
      </c>
    </row>
    <row r="26" spans="9:9" x14ac:dyDescent="0.3">
      <c r="I26">
        <v>6</v>
      </c>
    </row>
    <row r="27" spans="9:9" x14ac:dyDescent="0.3">
      <c r="I27">
        <v>6.5</v>
      </c>
    </row>
    <row r="28" spans="9:9" x14ac:dyDescent="0.3">
      <c r="I28">
        <v>7</v>
      </c>
    </row>
    <row r="29" spans="9:9" x14ac:dyDescent="0.3">
      <c r="I29">
        <v>7.5</v>
      </c>
    </row>
    <row r="30" spans="9:9" x14ac:dyDescent="0.3">
      <c r="I30">
        <v>8</v>
      </c>
    </row>
    <row r="31" spans="9:9" x14ac:dyDescent="0.3">
      <c r="I31">
        <v>8.5</v>
      </c>
    </row>
    <row r="32" spans="9:9" x14ac:dyDescent="0.3">
      <c r="I32">
        <v>9</v>
      </c>
    </row>
    <row r="33" spans="9:9" x14ac:dyDescent="0.3">
      <c r="I33">
        <v>9.5</v>
      </c>
    </row>
    <row r="34" spans="9:9" x14ac:dyDescent="0.3">
      <c r="I34">
        <v>10</v>
      </c>
    </row>
    <row r="35" spans="9:9" x14ac:dyDescent="0.3">
      <c r="I35">
        <v>10.5</v>
      </c>
    </row>
    <row r="36" spans="9:9" x14ac:dyDescent="0.3">
      <c r="I36">
        <v>11</v>
      </c>
    </row>
    <row r="37" spans="9:9" x14ac:dyDescent="0.3">
      <c r="I37">
        <v>11.5</v>
      </c>
    </row>
    <row r="38" spans="9:9" x14ac:dyDescent="0.3">
      <c r="I38">
        <v>12</v>
      </c>
    </row>
    <row r="39" spans="9:9" x14ac:dyDescent="0.3">
      <c r="I39">
        <v>12.5</v>
      </c>
    </row>
    <row r="40" spans="9:9" x14ac:dyDescent="0.3">
      <c r="I40">
        <v>13</v>
      </c>
    </row>
    <row r="41" spans="9:9" x14ac:dyDescent="0.3">
      <c r="I41">
        <v>13.5</v>
      </c>
    </row>
    <row r="42" spans="9:9" x14ac:dyDescent="0.3">
      <c r="I42">
        <v>14</v>
      </c>
    </row>
    <row r="43" spans="9:9" x14ac:dyDescent="0.3">
      <c r="I43">
        <v>14.5</v>
      </c>
    </row>
    <row r="44" spans="9:9" x14ac:dyDescent="0.3">
      <c r="I44">
        <v>15</v>
      </c>
    </row>
    <row r="45" spans="9:9" x14ac:dyDescent="0.3">
      <c r="I45">
        <v>15.5</v>
      </c>
    </row>
    <row r="46" spans="9:9" x14ac:dyDescent="0.3">
      <c r="I46">
        <v>16</v>
      </c>
    </row>
    <row r="47" spans="9:9" x14ac:dyDescent="0.3">
      <c r="I47">
        <v>16.5</v>
      </c>
    </row>
    <row r="48" spans="9:9" x14ac:dyDescent="0.3">
      <c r="I48">
        <v>17</v>
      </c>
    </row>
    <row r="49" spans="9:9" x14ac:dyDescent="0.3">
      <c r="I49">
        <v>17.5</v>
      </c>
    </row>
    <row r="50" spans="9:9" x14ac:dyDescent="0.3">
      <c r="I50">
        <v>18</v>
      </c>
    </row>
    <row r="51" spans="9:9" x14ac:dyDescent="0.3">
      <c r="I51">
        <v>18.5</v>
      </c>
    </row>
    <row r="52" spans="9:9" x14ac:dyDescent="0.3">
      <c r="I52">
        <v>19</v>
      </c>
    </row>
    <row r="53" spans="9:9" x14ac:dyDescent="0.3">
      <c r="I53">
        <v>19.5</v>
      </c>
    </row>
    <row r="54" spans="9:9" x14ac:dyDescent="0.3">
      <c r="I54">
        <v>20</v>
      </c>
    </row>
    <row r="55" spans="9:9" x14ac:dyDescent="0.3">
      <c r="I55">
        <v>20.5</v>
      </c>
    </row>
    <row r="56" spans="9:9" x14ac:dyDescent="0.3">
      <c r="I56">
        <v>21</v>
      </c>
    </row>
    <row r="57" spans="9:9" x14ac:dyDescent="0.3">
      <c r="I57">
        <v>21.5</v>
      </c>
    </row>
    <row r="58" spans="9:9" x14ac:dyDescent="0.3">
      <c r="I58">
        <v>22</v>
      </c>
    </row>
    <row r="59" spans="9:9" x14ac:dyDescent="0.3">
      <c r="I59">
        <v>22.5</v>
      </c>
    </row>
    <row r="60" spans="9:9" x14ac:dyDescent="0.3">
      <c r="I60">
        <v>23</v>
      </c>
    </row>
    <row r="61" spans="9:9" x14ac:dyDescent="0.3">
      <c r="I61">
        <v>23.5</v>
      </c>
    </row>
    <row r="62" spans="9:9" x14ac:dyDescent="0.3">
      <c r="I62">
        <v>24</v>
      </c>
    </row>
    <row r="63" spans="9:9" x14ac:dyDescent="0.3">
      <c r="I63">
        <v>24.5</v>
      </c>
    </row>
    <row r="64" spans="9:9" x14ac:dyDescent="0.3">
      <c r="I64">
        <v>25</v>
      </c>
    </row>
    <row r="65" spans="9:9" x14ac:dyDescent="0.3">
      <c r="I65">
        <v>25.5</v>
      </c>
    </row>
    <row r="66" spans="9:9" x14ac:dyDescent="0.3">
      <c r="I66">
        <v>26</v>
      </c>
    </row>
    <row r="67" spans="9:9" x14ac:dyDescent="0.3">
      <c r="I67">
        <v>26.5</v>
      </c>
    </row>
    <row r="68" spans="9:9" x14ac:dyDescent="0.3">
      <c r="I68">
        <v>27</v>
      </c>
    </row>
    <row r="69" spans="9:9" x14ac:dyDescent="0.3">
      <c r="I69">
        <v>27.5</v>
      </c>
    </row>
    <row r="70" spans="9:9" x14ac:dyDescent="0.3">
      <c r="I70">
        <v>28</v>
      </c>
    </row>
    <row r="71" spans="9:9" x14ac:dyDescent="0.3">
      <c r="I71">
        <v>28.5</v>
      </c>
    </row>
    <row r="72" spans="9:9" x14ac:dyDescent="0.3">
      <c r="I72">
        <v>29</v>
      </c>
    </row>
    <row r="73" spans="9:9" x14ac:dyDescent="0.3">
      <c r="I73">
        <v>29.5</v>
      </c>
    </row>
    <row r="74" spans="9:9" x14ac:dyDescent="0.3">
      <c r="I74">
        <v>30</v>
      </c>
    </row>
  </sheetData>
  <pageMargins left="0.7" right="0.7" top="0.75" bottom="0.75" header="0.3" footer="0.3"/>
  <ignoredErrors>
    <ignoredError sqref="C4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Adithyah Nair</cp:lastModifiedBy>
  <dcterms:created xsi:type="dcterms:W3CDTF">2026-02-18T22:45:22Z</dcterms:created>
  <dcterms:modified xsi:type="dcterms:W3CDTF">2026-02-24T20:30:43Z</dcterms:modified>
</cp:coreProperties>
</file>