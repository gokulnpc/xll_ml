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l\source\repos\xll_ml\xlsx\"/>
    </mc:Choice>
  </mc:AlternateContent>
  <xr:revisionPtr revIDLastSave="0" documentId="13_ncr:1_{C4ABC63C-3DB4-45C4-A04E-499140CD911D}" xr6:coauthVersionLast="47" xr6:coauthVersionMax="47" xr10:uidLastSave="{00000000-0000-0000-0000-000000000000}"/>
  <bookViews>
    <workbookView xWindow="-120" yWindow="-120" windowWidth="12240" windowHeight="8520" xr2:uid="{EA092A42-1670-4D44-86F1-B9E7694F8A62}"/>
  </bookViews>
  <sheets>
    <sheet name="Sheet1" sheetId="1" r:id="rId1"/>
  </sheets>
  <definedNames>
    <definedName name="f">Sheet1!$C$3</definedName>
    <definedName name="k">Sheet1!$C$5</definedName>
    <definedName name="m">Sheet1!$C$6</definedName>
    <definedName name="s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 a="1"/>
  <c r="D12" i="1" s="1"/>
  <c r="G12" i="1" a="1"/>
  <c r="F12" i="1" a="1"/>
  <c r="E12" i="1" a="1"/>
  <c r="C6" i="1" a="1"/>
  <c r="G12" i="1" l="1"/>
  <c r="F12" i="1"/>
  <c r="E12" i="1"/>
  <c r="C6" i="1"/>
  <c r="C7" i="1" a="1"/>
  <c r="C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<sst xmlns="http://schemas.openxmlformats.org/spreadsheetml/2006/main" count="5" uniqueCount="5">
  <si>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f</t>
  </si>
  <si>
    <t>s</t>
  </si>
  <si>
    <t>k</t>
  </si>
  <si>
    <t>put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</si>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</sst>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5" formatCode="0.0000"/>
  </numFmts>
  <fonts count="2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164" fontId="1" fillId="0" borderId="0" xfId="1">
      <alignment horizontal="center" vertical="center"/>
    </xf>
    <xf numFmtId="165" fontId="0" fillId="0" borderId="0" xfId="0" applyNumberFormat="1"/>
  </cellXfs>
  <cellStyles count="2">
    <cellStyle name="Handle" xfId="1" xr:uid="{1D654BEF-DD87-407E-A523-E3474ECC1167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DEE-4F3C-473F-9F8B-5F0D6CBFE894}">
  <dimension ref="B3:G20"/>
  <sheetViews>
    <sheetView tabSelected="1" topLeftCell="A10" workbookViewId="0">
      <selection activeCell="G13" sqref="G13"/>
    </sheetView>
  </sheetViews>
  <sheetFormatPr defaultRowHeight="18"/>
  <cols>
    <col min="1" max="1" width="3.54296875" customWidth="1"/>
    <col min="3" max="3" width="11.6328125" bestFit="1" customWidth="1"/>
  </cols>
  <sheetData>
    <row r="3" spans="2:7">
      <c r="B3" s="1" t="s">
        <v>0</v>
      </c>
      <c r="C3">
        <v>100</v>
      </c>
    </row>
    <row r="4" spans="2:7">
      <c r="B4" s="1" t="s">
        <v>1</v>
      </c>
      <c r="C4">
        <v>0.1</v>
      </c>
    </row>
    <row r="5" spans="2:7">
      <c r="B5" s="1" t="s">
        <v>2</v>
      </c>
      <c r="C5">
        <v>100</v>
      </c>
    </row>
    <row r="6" spans="2:7">
      <c r="B6" s="1" t="s">
        <v>4</v>
      </c>
      <c r="C6" s="2" cm="1">
        <f t="array" ref="C6">_xll.\OPTION.NORMAL()</f>
        <v>2177383628976</v>
      </c>
    </row>
    <row r="7" spans="2:7">
      <c r="B7" s="1" t="s">
        <v>3</v>
      </c>
      <c r="C7" s="3" cm="1">
        <f t="array" ref="C7">_xll.OPTION.BLACK.PUT(f, s, k, m)</f>
        <v>3.9877746125013118</v>
      </c>
    </row>
    <row r="12" spans="2:7">
      <c r="D12" cm="1">
        <f t="array" ref="D12:D20">_xlfn.SEQUENCE(9, 1, 80, 5)</f>
        <v>80</v>
      </c>
      <c r="E12" cm="1">
        <f t="array" ref="E12:E20">_xlfn.MAP(_xlfn.ANCHORARRAY(D12), _xlfn.LAMBDA(_xlpm.k, _xll.OPTION.BLACK.MONEYNESS(C3, C4, _xlpm.k, C6)))</f>
        <v>-2.1814355131420968</v>
      </c>
      <c r="F12" cm="1">
        <f t="array" ref="F12:F20">_xlfn.MAP(_xlfn.ANCHORARRAY(D12), _xlfn.LAMBDA(_xlpm.k, _xll.OPTION.BLACK.PUT(C3, C4, _xlpm.k, C6)))</f>
        <v>3.9913489502149124E-2</v>
      </c>
      <c r="G12" cm="1">
        <f t="array" ref="G12:G20">_xlfn.MAP(_xlfn.ANCHORARRAY(D12), _xlfn.LAMBDA(_xlpm.k, _xll.OPTION.BLACK.CALL(C3, C4, _xlpm.k, C6)))</f>
        <v>20.039913489502155</v>
      </c>
    </row>
    <row r="13" spans="2:7">
      <c r="D13">
        <v>85</v>
      </c>
      <c r="E13">
        <v>-1.5751892949777493</v>
      </c>
      <c r="F13">
        <v>0.20169020324580078</v>
      </c>
      <c r="G13">
        <v>15.201690203245803</v>
      </c>
    </row>
    <row r="14" spans="2:7">
      <c r="D14">
        <v>90</v>
      </c>
      <c r="E14">
        <v>-1.0036051565782627</v>
      </c>
      <c r="F14">
        <v>0.7123773837400833</v>
      </c>
      <c r="G14">
        <v>10.71237738374009</v>
      </c>
    </row>
    <row r="15" spans="2:7">
      <c r="D15">
        <v>95</v>
      </c>
      <c r="E15">
        <v>-0.46293294387550571</v>
      </c>
      <c r="F15">
        <v>1.8880683097281832</v>
      </c>
      <c r="G15">
        <v>6.8880683097281832</v>
      </c>
    </row>
    <row r="16" spans="2:7">
      <c r="D16">
        <v>100</v>
      </c>
      <c r="E16">
        <v>5.000000000000001E-2</v>
      </c>
      <c r="F16">
        <v>3.9877746125013118</v>
      </c>
      <c r="G16">
        <v>3.9877746125013118</v>
      </c>
    </row>
    <row r="17" spans="4:7">
      <c r="D17">
        <v>105</v>
      </c>
      <c r="E17">
        <v>0.53790164169432031</v>
      </c>
      <c r="F17">
        <v>7.0640245213143373</v>
      </c>
      <c r="G17">
        <v>2.0640245213143373</v>
      </c>
    </row>
    <row r="18" spans="4:7">
      <c r="D18">
        <v>110</v>
      </c>
      <c r="E18">
        <v>1.0031017980432493</v>
      </c>
      <c r="F18">
        <v>10.953943365573252</v>
      </c>
      <c r="G18">
        <v>0.95394336557325232</v>
      </c>
    </row>
    <row r="19" spans="4:7">
      <c r="D19">
        <v>115</v>
      </c>
      <c r="E19">
        <v>1.4476194237515863</v>
      </c>
      <c r="F19">
        <v>15.394940132447118</v>
      </c>
      <c r="G19">
        <v>0.39494013244711823</v>
      </c>
    </row>
    <row r="20" spans="4:7">
      <c r="D20">
        <v>120</v>
      </c>
      <c r="E20">
        <v>1.8732155679395459</v>
      </c>
      <c r="F20">
        <v>20.147335155685013</v>
      </c>
      <c r="G20">
        <v>0.14733515568501332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f</vt:lpstr>
      <vt:lpstr>k</vt:lpstr>
      <vt:lpstr>m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Gokuleshwaran Narayanan</cp:lastModifiedBy>
  <dcterms:created xsi:type="dcterms:W3CDTF">2026-02-10T16:40:49Z</dcterms:created>
  <dcterms:modified xsi:type="dcterms:W3CDTF">2026-02-16T01:23:01Z</dcterms:modified>
</cp:coreProperties>
</file>